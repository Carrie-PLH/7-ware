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hting Price Comparison" sheetId="1" state="visible" r:id="rId3"/>
    <sheet name="Key Find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<sst xmlns="http://schemas.openxmlformats.org/spreadsheetml/2006/main" count="129" uniqueCount="109">
  <si>
    <t xml:space="preserve">7 Ware Lane — Interior Lighting Price Comparison</t>
  </si>
  <si>
    <t xml:space="preserve">Prices sourced April 2026. Verify before purchasing.</t>
  </si>
  <si>
    <t xml:space="preserve">Location</t>
  </si>
  <si>
    <t xml:space="preserve">Fixture</t>
  </si>
  <si>
    <t xml:space="preserve">Mfg</t>
  </si>
  <si>
    <t xml:space="preserve">Model</t>
  </si>
  <si>
    <t xml:space="preserve">Qty</t>
  </si>
  <si>
    <t xml:space="preserve">Your $/unit</t>
  </si>
  <si>
    <t xml:space="preserve">Your Ext.</t>
  </si>
  <si>
    <t xml:space="preserve">Best $/unit</t>
  </si>
  <si>
    <t xml:space="preserve">Best Source</t>
  </si>
  <si>
    <t xml:space="preserve">$/unit Saved</t>
  </si>
  <si>
    <t xml:space="preserve">Save %</t>
  </si>
  <si>
    <t xml:space="preserve">Front hall</t>
  </si>
  <si>
    <t xml:space="preserve">Tryne 2-light semiflush</t>
  </si>
  <si>
    <t xml:space="preserve">Hubbardton Forge</t>
  </si>
  <si>
    <t xml:space="preserve">124412-1015</t>
  </si>
  <si>
    <t xml:space="preserve">Standard (multiple retailers)</t>
  </si>
  <si>
    <t xml:space="preserve">Sunroom (table)</t>
  </si>
  <si>
    <t xml:space="preserve">Henry 15" pendant</t>
  </si>
  <si>
    <t xml:space="preserve">134550-1080</t>
  </si>
  <si>
    <t xml:space="preserve">AffordableLamps / Lightology</t>
  </si>
  <si>
    <t xml:space="preserve">Sunroom lights</t>
  </si>
  <si>
    <t xml:space="preserve">Banded 12" sconce</t>
  </si>
  <si>
    <t xml:space="preserve">205812-1076</t>
  </si>
  <si>
    <t xml:space="preserve">LBC Lighting</t>
  </si>
  <si>
    <t xml:space="preserve">Sunroom fan</t>
  </si>
  <si>
    <t xml:space="preserve">Maverick 52" smart fan</t>
  </si>
  <si>
    <t xml:space="preserve">Visual Comfort</t>
  </si>
  <si>
    <t xml:space="preserve">3MAVSM52BBSWWOD</t>
  </si>
  <si>
    <t xml:space="preserve">Already below $999 MSRP</t>
  </si>
  <si>
    <t xml:space="preserve">Dining</t>
  </si>
  <si>
    <t xml:space="preserve">Flora 5-light chandelier</t>
  </si>
  <si>
    <t xml:space="preserve">103045-1028</t>
  </si>
  <si>
    <t xml:space="preserve">Lightology / Lumens</t>
  </si>
  <si>
    <t xml:space="preserve">Great room (2-light)</t>
  </si>
  <si>
    <t xml:space="preserve">Ellipse 2-light 8" sconce</t>
  </si>
  <si>
    <t xml:space="preserve">207522-1076</t>
  </si>
  <si>
    <t xml:space="preserve">Lightology</t>
  </si>
  <si>
    <t xml:space="preserve">Great room (1-light)</t>
  </si>
  <si>
    <t xml:space="preserve">Ellipse 1-light 8" sconce</t>
  </si>
  <si>
    <t xml:space="preserve">207521-1076</t>
  </si>
  <si>
    <t xml:space="preserve">FILL IN</t>
  </si>
  <si>
    <t xml:space="preserve">Lumens / Crescent Harbor</t>
  </si>
  <si>
    <t xml:space="preserve">Breakfast</t>
  </si>
  <si>
    <t xml:space="preserve">Henry 15" pendant (frost)</t>
  </si>
  <si>
    <t xml:space="preserve">134553-1017</t>
  </si>
  <si>
    <t xml:space="preserve">Powder room</t>
  </si>
  <si>
    <t xml:space="preserve">Menlo Park 3-light vanity</t>
  </si>
  <si>
    <t xml:space="preserve">Troy Lighting</t>
  </si>
  <si>
    <t xml:space="preserve">B3953-OS</t>
  </si>
  <si>
    <t xml:space="preserve">1800Lighting</t>
  </si>
  <si>
    <t xml:space="preserve">Basement stairs</t>
  </si>
  <si>
    <t xml:space="preserve">Georgette 14" LED sconce</t>
  </si>
  <si>
    <t xml:space="preserve">Hinkley</t>
  </si>
  <si>
    <t xml:space="preserve">51310LCB</t>
  </si>
  <si>
    <t xml:space="preserve">Your price is best</t>
  </si>
  <si>
    <t xml:space="preserve">Wine cellar</t>
  </si>
  <si>
    <t xml:space="preserve">Congress 13.25" sconce</t>
  </si>
  <si>
    <t xml:space="preserve">31700CM</t>
  </si>
  <si>
    <t xml:space="preserve">Chester Lighting ($199 Ferguson)</t>
  </si>
  <si>
    <t xml:space="preserve">Bath 2 (2nd fl master)</t>
  </si>
  <si>
    <t xml:space="preserve">Grace 13" sconce</t>
  </si>
  <si>
    <t xml:space="preserve">Robert Abbey</t>
  </si>
  <si>
    <t xml:space="preserve">S484</t>
  </si>
  <si>
    <t xml:space="preserve">Ferguson Home</t>
  </si>
  <si>
    <t xml:space="preserve">Bath 3 (Jack &amp; Jill)</t>
  </si>
  <si>
    <t xml:space="preserve">Erlenmeyer 10" ADA sconce</t>
  </si>
  <si>
    <t xml:space="preserve">207720-1046</t>
  </si>
  <si>
    <t xml:space="preserve">Main stair</t>
  </si>
  <si>
    <t xml:space="preserve">Erlenmeyer 10" sconce</t>
  </si>
  <si>
    <t xml:space="preserve">207710-1031</t>
  </si>
  <si>
    <t xml:space="preserve">2Modern (15% off)</t>
  </si>
  <si>
    <t xml:space="preserve">Garage office stair</t>
  </si>
  <si>
    <t xml:space="preserve">Menlo Park 14" sconce</t>
  </si>
  <si>
    <t xml:space="preserve">B3131-OS</t>
  </si>
  <si>
    <t xml:space="preserve">Amazon / Foundry Lighting</t>
  </si>
  <si>
    <t xml:space="preserve">Bath 4 (garage)</t>
  </si>
  <si>
    <t xml:space="preserve">Bath 1 (1st fl master)</t>
  </si>
  <si>
    <t xml:space="preserve">TOTALS</t>
  </si>
  <si>
    <t xml:space="preserve">Best-price extended</t>
  </si>
  <si>
    <t xml:space="preserve">Total savings</t>
  </si>
  <si>
    <t xml:space="preserve">Legend:</t>
  </si>
  <si>
    <t xml:space="preserve">Needs your price and qty filled in</t>
  </si>
  <si>
    <t xml:space="preserve">Verify — your price seems unusually low</t>
  </si>
  <si>
    <t xml:space="preserve">Key Finding</t>
  </si>
  <si>
    <t xml:space="preserve">Detail</t>
  </si>
  <si>
    <t xml:space="preserve">Robert Abbey S484 (Baths 1, 2)</t>
  </si>
  <si>
    <t xml:space="preserve">Ferguson has at $206.40 vs $342. 4 units = ~$542 savings.</t>
  </si>
  <si>
    <t xml:space="preserve">Troy Menlo Park B3953 (Powder, Bath 4)</t>
  </si>
  <si>
    <t xml:space="preserve">1800Lighting $356 vs $444.80. 2 units = ~$178 savings.</t>
  </si>
  <si>
    <t xml:space="preserve">HF Henry pendants</t>
  </si>
  <si>
    <t xml:space="preserve">Lightology consistently 10-15% below list.</t>
  </si>
  <si>
    <t xml:space="preserve">HF Erlenmeyer (Main stair)</t>
  </si>
  <si>
    <t xml:space="preserve">2Modern has at $559 vs $682. 2 units = ~$246 savings.</t>
  </si>
  <si>
    <t xml:space="preserve">HF Banded sconces (Sunroom)</t>
  </si>
  <si>
    <t xml:space="preserve">LBC Lighting $440 vs $506. 3 units = ~$198 savings.</t>
  </si>
  <si>
    <t xml:space="preserve">Hinkley Congress (Wine cellar)</t>
  </si>
  <si>
    <t xml:space="preserve">Your $49.76 is FAR below $139-199 market. Verify — possible closeout or error.</t>
  </si>
  <si>
    <t xml:space="preserve">Visual Comfort Maverick fan</t>
  </si>
  <si>
    <t xml:space="preserve">Your $849 already below $999 MSRP. Good price.</t>
  </si>
  <si>
    <t xml:space="preserve">Hinkley Georgette (Basement)</t>
  </si>
  <si>
    <t xml:space="preserve">Your $329 is competitive. Market is $335-395.</t>
  </si>
  <si>
    <t xml:space="preserve">HF Ellipse 1-light (207521)</t>
  </si>
  <si>
    <t xml:space="preserve">Added per request. Best found $657.80. Fill in your qty and price.</t>
  </si>
  <si>
    <t xml:space="preserve">Retailers Searched</t>
  </si>
  <si>
    <t xml:space="preserve">Lightology, Lumens, 1800Lighting, LBC Lighting, Ferguson Home, Build.com, Amazon, Foundry Lighting, Crescent Harbor, 2Modern, AffordableLamps, Destination Lighting</t>
  </si>
  <si>
    <t xml:space="preserve">Caveat</t>
  </si>
  <si>
    <t xml:space="preserve">Prices change frequently. Shipping not included. Verify finish codes match exactly before ordering.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</si>
</sst>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6B7A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D3436"/>
      <name val="Arial"/>
      <family val="0"/>
      <charset val="1"/>
    </font>
    <font>
      <sz val="10"/>
      <color rgb="FF2D3436"/>
      <name val="Arial"/>
      <family val="0"/>
      <charset val="1"/>
    </font>
    <font>
      <sz val="9"/>
      <color rgb="FF2D9DB3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1"/>
      <color rgb="FF1A6B7A"/>
      <name val="Arial"/>
      <family val="0"/>
      <charset val="1"/>
    </font>
    <font>
      <b val="true"/>
      <sz val="11"/>
      <color rgb="FF2D3436"/>
      <name val="Arial"/>
      <family val="0"/>
      <charset val="1"/>
    </font>
    <font>
      <b val="true"/>
      <sz val="11"/>
      <color rgb="FF4A8C5C"/>
      <name val="Arial"/>
      <family val="0"/>
      <charset val="1"/>
    </font>
    <font>
      <b val="true"/>
      <i val="true"/>
      <sz val="9"/>
      <color rgb="FF4A8C5C"/>
      <name val="Arial"/>
      <family val="0"/>
      <charset val="1"/>
    </font>
    <font>
      <b val="true"/>
      <sz val="9"/>
      <color rgb="FF2D343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6B7A"/>
        <bgColor rgb="FF008080"/>
      </patternFill>
    </fill>
    <fill>
      <patternFill patternType="solid">
        <fgColor rgb="FFF4F6F7"/>
        <bgColor rgb="FFFFFFFF"/>
      </patternFill>
    </fill>
    <fill>
      <patternFill patternType="solid">
        <fgColor rgb="FFFDF6DC"/>
        <bgColor rgb="FFFDECEA"/>
      </patternFill>
    </fill>
    <fill>
      <patternFill patternType="solid">
        <fgColor rgb="FFFDECEA"/>
        <bgColor rgb="FFFDF6DC"/>
      </patternFill>
    </fill>
    <fill>
      <patternFill patternType="solid">
        <fgColor rgb="FFD4F0F7"/>
        <bgColor rgb="FFE0E0E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/>
      <right/>
      <top style="medium">
        <color rgb="FF1A6B7A"/>
      </top>
      <bottom style="medium">
        <color rgb="FF1A6B7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7A"/>
      <rgbColor rgb="FFC0C0C0"/>
      <rgbColor rgb="FF7F8C8D"/>
      <rgbColor rgb="FF9999FF"/>
      <rgbColor rgb="FF993366"/>
      <rgbColor rgb="FFFDF6DC"/>
      <rgbColor rgb="FFD4F0F7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7"/>
      <rgbColor rgb="FFCCFFCC"/>
      <rgbColor rgb="FFFDECEA"/>
      <rgbColor rgb="FF99CCFF"/>
      <rgbColor rgb="FFFF99CC"/>
      <rgbColor rgb="FFCC99FF"/>
      <rgbColor rgb="FFFFCC99"/>
      <rgbColor rgb="FF3366FF"/>
      <rgbColor rgb="FF2D9DB3"/>
      <rgbColor rgb="FF99CC00"/>
      <rgbColor rgb="FFFFCC00"/>
      <rgbColor rgb="FFFF9900"/>
      <rgbColor rgb="FFE67E22"/>
      <rgbColor rgb="FF666699"/>
      <rgbColor rgb="FF969696"/>
      <rgbColor rgb="FF003366"/>
      <rgbColor rgb="FF4A8C5C"/>
      <rgbColor rgb="FF003300"/>
      <rgbColor rgb="FF333300"/>
      <rgbColor rgb="FF993300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5"/>
    <col collapsed="false" customWidth="true" hidden="false" outlineLevel="0" max="8" min="6" style="0" width="12"/>
    <col collapsed="false" customWidth="true" hidden="false" outlineLevel="0" max="9" min="9" style="0" width="32"/>
    <col collapsed="false" customWidth="true" hidden="false" outlineLevel="0" max="10" min="10" style="0" width="12"/>
    <col collapsed="false" customWidth="true" hidden="false" outlineLevel="0" max="11" min="11" style="0" width="9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s">
        <v>13</v>
      </c>
      <c r="B5" s="5" t="s">
        <v>14</v>
      </c>
      <c r="C5" s="6" t="s">
        <v>15</v>
      </c>
      <c r="D5" s="6" t="s">
        <v>16</v>
      </c>
      <c r="E5" s="7" t="n">
        <v>1</v>
      </c>
      <c r="F5" s="8" t="n">
        <v>748</v>
      </c>
      <c r="G5" s="8" t="n">
        <f aca="false">E5*F5</f>
        <v>748</v>
      </c>
      <c r="H5" s="8" t="n">
        <v>748</v>
      </c>
      <c r="I5" s="9" t="s">
        <v>17</v>
      </c>
      <c r="J5" s="8" t="n">
        <f aca="false">F5-H5</f>
        <v>0</v>
      </c>
      <c r="K5" s="10" t="n">
        <f aca="false">IF(F5&gt;0,(F5-H5)/F5,0)</f>
        <v>0</v>
      </c>
    </row>
    <row r="6" customFormat="false" ht="15" hidden="false" customHeight="false" outlineLevel="0" collapsed="false">
      <c r="A6" s="11" t="s">
        <v>18</v>
      </c>
      <c r="B6" s="12" t="s">
        <v>19</v>
      </c>
      <c r="C6" s="13" t="s">
        <v>15</v>
      </c>
      <c r="D6" s="13" t="s">
        <v>20</v>
      </c>
      <c r="E6" s="14" t="n">
        <v>1</v>
      </c>
      <c r="F6" s="15" t="n">
        <v>902</v>
      </c>
      <c r="G6" s="15" t="n">
        <f aca="false">E6*F6</f>
        <v>902</v>
      </c>
      <c r="H6" s="15" t="n">
        <v>766.7</v>
      </c>
      <c r="I6" s="16" t="s">
        <v>21</v>
      </c>
      <c r="J6" s="15" t="n">
        <f aca="false">F6-H6</f>
        <v>135.3</v>
      </c>
      <c r="K6" s="17" t="n">
        <f aca="false">IF(F6&gt;0,(F6-H6)/F6,0)</f>
        <v>0.15</v>
      </c>
    </row>
    <row r="7" customFormat="false" ht="15" hidden="false" customHeight="false" outlineLevel="0" collapsed="false">
      <c r="A7" s="4" t="s">
        <v>22</v>
      </c>
      <c r="B7" s="5" t="s">
        <v>23</v>
      </c>
      <c r="C7" s="6" t="s">
        <v>15</v>
      </c>
      <c r="D7" s="6" t="s">
        <v>24</v>
      </c>
      <c r="E7" s="7" t="n">
        <v>3</v>
      </c>
      <c r="F7" s="8" t="n">
        <v>506</v>
      </c>
      <c r="G7" s="8" t="n">
        <f aca="false">E7*F7</f>
        <v>1518</v>
      </c>
      <c r="H7" s="8" t="n">
        <v>440</v>
      </c>
      <c r="I7" s="9" t="s">
        <v>25</v>
      </c>
      <c r="J7" s="8" t="n">
        <f aca="false">F7-H7</f>
        <v>66</v>
      </c>
      <c r="K7" s="10" t="n">
        <f aca="false">IF(F7&gt;0,(F7-H7)/F7,0)</f>
        <v>0.130434782608696</v>
      </c>
    </row>
    <row r="8" customFormat="false" ht="15" hidden="false" customHeight="false" outlineLevel="0" collapsed="false">
      <c r="A8" s="11" t="s">
        <v>26</v>
      </c>
      <c r="B8" s="12" t="s">
        <v>27</v>
      </c>
      <c r="C8" s="13" t="s">
        <v>28</v>
      </c>
      <c r="D8" s="13" t="s">
        <v>29</v>
      </c>
      <c r="E8" s="14" t="n">
        <v>1</v>
      </c>
      <c r="F8" s="15" t="n">
        <v>849.15</v>
      </c>
      <c r="G8" s="15" t="n">
        <f aca="false">E8*F8</f>
        <v>849.15</v>
      </c>
      <c r="H8" s="15" t="n">
        <v>849.15</v>
      </c>
      <c r="I8" s="16" t="s">
        <v>30</v>
      </c>
      <c r="J8" s="15" t="n">
        <f aca="false">F8-H8</f>
        <v>0</v>
      </c>
      <c r="K8" s="17" t="n">
        <f aca="false">IF(F8&gt;0,(F8-H8)/F8,0)</f>
        <v>0</v>
      </c>
    </row>
    <row r="9" customFormat="false" ht="15" hidden="false" customHeight="false" outlineLevel="0" collapsed="false">
      <c r="A9" s="4" t="s">
        <v>31</v>
      </c>
      <c r="B9" s="5" t="s">
        <v>32</v>
      </c>
      <c r="C9" s="6" t="s">
        <v>15</v>
      </c>
      <c r="D9" s="6" t="s">
        <v>33</v>
      </c>
      <c r="E9" s="7" t="n">
        <v>1</v>
      </c>
      <c r="F9" s="8" t="n">
        <v>1980</v>
      </c>
      <c r="G9" s="8" t="n">
        <f aca="false">E9*F9</f>
        <v>1980</v>
      </c>
      <c r="H9" s="8" t="n">
        <v>1889.8</v>
      </c>
      <c r="I9" s="9" t="s">
        <v>34</v>
      </c>
      <c r="J9" s="8" t="n">
        <f aca="false">F9-H9</f>
        <v>90.2000000000001</v>
      </c>
      <c r="K9" s="10" t="n">
        <f aca="false">IF(F9&gt;0,(F9-H9)/F9,0)</f>
        <v>0.0455555555555556</v>
      </c>
    </row>
    <row r="10" customFormat="false" ht="15" hidden="false" customHeight="false" outlineLevel="0" collapsed="false">
      <c r="A10" s="11" t="s">
        <v>35</v>
      </c>
      <c r="B10" s="12" t="s">
        <v>36</v>
      </c>
      <c r="C10" s="13" t="s">
        <v>15</v>
      </c>
      <c r="D10" s="13" t="s">
        <v>37</v>
      </c>
      <c r="E10" s="14" t="n">
        <v>2</v>
      </c>
      <c r="F10" s="15" t="n">
        <v>1122</v>
      </c>
      <c r="G10" s="15" t="n">
        <f aca="false">E10*F10</f>
        <v>2244</v>
      </c>
      <c r="H10" s="15" t="n">
        <v>1075.8</v>
      </c>
      <c r="I10" s="16" t="s">
        <v>38</v>
      </c>
      <c r="J10" s="15" t="n">
        <f aca="false">F10-H10</f>
        <v>46.2</v>
      </c>
      <c r="K10" s="17" t="n">
        <f aca="false">IF(F10&gt;0,(F10-H10)/F10,0)</f>
        <v>0.0411764705882353</v>
      </c>
    </row>
    <row r="11" customFormat="false" ht="15" hidden="false" customHeight="false" outlineLevel="0" collapsed="false">
      <c r="A11" s="18" t="s">
        <v>39</v>
      </c>
      <c r="B11" s="19" t="s">
        <v>40</v>
      </c>
      <c r="C11" s="20" t="s">
        <v>15</v>
      </c>
      <c r="D11" s="20" t="s">
        <v>41</v>
      </c>
      <c r="E11" s="21"/>
      <c r="F11" s="22" t="s">
        <v>42</v>
      </c>
      <c r="G11" s="19"/>
      <c r="H11" s="23" t="n">
        <v>657.8</v>
      </c>
      <c r="I11" s="24" t="s">
        <v>43</v>
      </c>
      <c r="J11" s="19"/>
      <c r="K11" s="19"/>
    </row>
    <row r="12" customFormat="false" ht="15" hidden="false" customHeight="false" outlineLevel="0" collapsed="false">
      <c r="A12" s="11" t="s">
        <v>44</v>
      </c>
      <c r="B12" s="12" t="s">
        <v>45</v>
      </c>
      <c r="C12" s="13" t="s">
        <v>15</v>
      </c>
      <c r="D12" s="13" t="s">
        <v>46</v>
      </c>
      <c r="E12" s="14" t="n">
        <v>1</v>
      </c>
      <c r="F12" s="15" t="n">
        <v>924</v>
      </c>
      <c r="G12" s="15" t="n">
        <f aca="false">E12*F12</f>
        <v>924</v>
      </c>
      <c r="H12" s="15" t="n">
        <v>833.8</v>
      </c>
      <c r="I12" s="16" t="s">
        <v>38</v>
      </c>
      <c r="J12" s="15" t="n">
        <f aca="false">F12-H12</f>
        <v>90.2000000000001</v>
      </c>
      <c r="K12" s="17" t="n">
        <f aca="false">IF(F12&gt;0,(F12-H12)/F12,0)</f>
        <v>0.0976190476190477</v>
      </c>
    </row>
    <row r="13" customFormat="false" ht="15" hidden="false" customHeight="false" outlineLevel="0" collapsed="false">
      <c r="A13" s="4" t="s">
        <v>47</v>
      </c>
      <c r="B13" s="5" t="s">
        <v>48</v>
      </c>
      <c r="C13" s="6" t="s">
        <v>49</v>
      </c>
      <c r="D13" s="6" t="s">
        <v>50</v>
      </c>
      <c r="E13" s="7" t="n">
        <v>1</v>
      </c>
      <c r="F13" s="8" t="n">
        <v>444.8</v>
      </c>
      <c r="G13" s="8" t="n">
        <f aca="false">E13*F13</f>
        <v>444.8</v>
      </c>
      <c r="H13" s="8" t="n">
        <v>356</v>
      </c>
      <c r="I13" s="9" t="s">
        <v>51</v>
      </c>
      <c r="J13" s="8" t="n">
        <f aca="false">F13-H13</f>
        <v>88.8</v>
      </c>
      <c r="K13" s="10" t="n">
        <f aca="false">IF(F13&gt;0,(F13-H13)/F13,0)</f>
        <v>0.199640287769784</v>
      </c>
    </row>
    <row r="14" customFormat="false" ht="15" hidden="false" customHeight="false" outlineLevel="0" collapsed="false">
      <c r="A14" s="11" t="s">
        <v>52</v>
      </c>
      <c r="B14" s="12" t="s">
        <v>53</v>
      </c>
      <c r="C14" s="13" t="s">
        <v>54</v>
      </c>
      <c r="D14" s="13" t="s">
        <v>55</v>
      </c>
      <c r="E14" s="14" t="n">
        <v>2</v>
      </c>
      <c r="F14" s="15" t="n">
        <v>329</v>
      </c>
      <c r="G14" s="15" t="n">
        <f aca="false">E14*F14</f>
        <v>658</v>
      </c>
      <c r="H14" s="15" t="n">
        <v>334.88</v>
      </c>
      <c r="I14" s="16" t="s">
        <v>56</v>
      </c>
      <c r="J14" s="15" t="n">
        <f aca="false">F14-H14</f>
        <v>-5.88</v>
      </c>
      <c r="K14" s="17" t="n">
        <f aca="false">IF(F14&gt;0,(F14-H14)/F14,0)</f>
        <v>-0.0178723404255319</v>
      </c>
    </row>
    <row r="15" customFormat="false" ht="15" hidden="false" customHeight="false" outlineLevel="0" collapsed="false">
      <c r="A15" s="25" t="s">
        <v>57</v>
      </c>
      <c r="B15" s="26" t="s">
        <v>58</v>
      </c>
      <c r="C15" s="27" t="s">
        <v>54</v>
      </c>
      <c r="D15" s="27" t="s">
        <v>59</v>
      </c>
      <c r="E15" s="28" t="n">
        <v>2</v>
      </c>
      <c r="F15" s="29" t="n">
        <v>49.76</v>
      </c>
      <c r="G15" s="29" t="n">
        <f aca="false">E15*F15</f>
        <v>99.52</v>
      </c>
      <c r="H15" s="29" t="n">
        <v>139</v>
      </c>
      <c r="I15" s="30" t="s">
        <v>60</v>
      </c>
      <c r="J15" s="29" t="n">
        <f aca="false">F15-H15</f>
        <v>-89.24</v>
      </c>
      <c r="K15" s="31" t="n">
        <f aca="false">IF(F15&gt;0,(F15-H15)/F15,0)</f>
        <v>-1.79340836012862</v>
      </c>
    </row>
    <row r="16" customFormat="false" ht="15" hidden="false" customHeight="false" outlineLevel="0" collapsed="false">
      <c r="A16" s="11" t="s">
        <v>61</v>
      </c>
      <c r="B16" s="12" t="s">
        <v>62</v>
      </c>
      <c r="C16" s="13" t="s">
        <v>63</v>
      </c>
      <c r="D16" s="13" t="s">
        <v>64</v>
      </c>
      <c r="E16" s="14" t="n">
        <v>2</v>
      </c>
      <c r="F16" s="15" t="n">
        <v>342</v>
      </c>
      <c r="G16" s="15" t="n">
        <f aca="false">E16*F16</f>
        <v>684</v>
      </c>
      <c r="H16" s="15" t="n">
        <v>206.4</v>
      </c>
      <c r="I16" s="16" t="s">
        <v>65</v>
      </c>
      <c r="J16" s="15" t="n">
        <f aca="false">F16-H16</f>
        <v>135.6</v>
      </c>
      <c r="K16" s="17" t="n">
        <f aca="false">IF(F16&gt;0,(F16-H16)/F16,0)</f>
        <v>0.396491228070175</v>
      </c>
    </row>
    <row r="17" customFormat="false" ht="15" hidden="false" customHeight="false" outlineLevel="0" collapsed="false">
      <c r="A17" s="4" t="s">
        <v>66</v>
      </c>
      <c r="B17" s="5" t="s">
        <v>67</v>
      </c>
      <c r="C17" s="6" t="s">
        <v>15</v>
      </c>
      <c r="D17" s="6" t="s">
        <v>68</v>
      </c>
      <c r="E17" s="7" t="n">
        <v>2</v>
      </c>
      <c r="F17" s="8" t="n">
        <v>572</v>
      </c>
      <c r="G17" s="8" t="n">
        <f aca="false">E17*F17</f>
        <v>1144</v>
      </c>
      <c r="H17" s="8" t="n">
        <v>547.8</v>
      </c>
      <c r="I17" s="9" t="s">
        <v>38</v>
      </c>
      <c r="J17" s="8" t="n">
        <f aca="false">F17-H17</f>
        <v>24.2</v>
      </c>
      <c r="K17" s="10" t="n">
        <f aca="false">IF(F17&gt;0,(F17-H17)/F17,0)</f>
        <v>0.0423076923076924</v>
      </c>
    </row>
    <row r="18" customFormat="false" ht="15" hidden="false" customHeight="false" outlineLevel="0" collapsed="false">
      <c r="A18" s="11" t="s">
        <v>69</v>
      </c>
      <c r="B18" s="12" t="s">
        <v>70</v>
      </c>
      <c r="C18" s="13" t="s">
        <v>15</v>
      </c>
      <c r="D18" s="13" t="s">
        <v>71</v>
      </c>
      <c r="E18" s="14" t="n">
        <v>2</v>
      </c>
      <c r="F18" s="15" t="n">
        <v>682</v>
      </c>
      <c r="G18" s="15" t="n">
        <f aca="false">E18*F18</f>
        <v>1364</v>
      </c>
      <c r="H18" s="15" t="n">
        <v>559.13</v>
      </c>
      <c r="I18" s="16" t="s">
        <v>72</v>
      </c>
      <c r="J18" s="15" t="n">
        <f aca="false">F18-H18</f>
        <v>122.87</v>
      </c>
      <c r="K18" s="17" t="n">
        <f aca="false">IF(F18&gt;0,(F18-H18)/F18,0)</f>
        <v>0.180161290322581</v>
      </c>
    </row>
    <row r="19" customFormat="false" ht="15" hidden="false" customHeight="false" outlineLevel="0" collapsed="false">
      <c r="A19" s="4" t="s">
        <v>73</v>
      </c>
      <c r="B19" s="5" t="s">
        <v>74</v>
      </c>
      <c r="C19" s="6" t="s">
        <v>49</v>
      </c>
      <c r="D19" s="6" t="s">
        <v>75</v>
      </c>
      <c r="E19" s="7" t="n">
        <v>2</v>
      </c>
      <c r="F19" s="8" t="n">
        <v>297.6</v>
      </c>
      <c r="G19" s="8" t="n">
        <f aca="false">E19*F19</f>
        <v>595.2</v>
      </c>
      <c r="H19" s="8" t="n">
        <v>265.6</v>
      </c>
      <c r="I19" s="9" t="s">
        <v>76</v>
      </c>
      <c r="J19" s="8" t="n">
        <f aca="false">F19-H19</f>
        <v>32</v>
      </c>
      <c r="K19" s="10" t="n">
        <f aca="false">IF(F19&gt;0,(F19-H19)/F19,0)</f>
        <v>0.10752688172043</v>
      </c>
    </row>
    <row r="20" customFormat="false" ht="15" hidden="false" customHeight="false" outlineLevel="0" collapsed="false">
      <c r="A20" s="11" t="s">
        <v>77</v>
      </c>
      <c r="B20" s="12" t="s">
        <v>48</v>
      </c>
      <c r="C20" s="13" t="s">
        <v>49</v>
      </c>
      <c r="D20" s="13" t="s">
        <v>50</v>
      </c>
      <c r="E20" s="14" t="n">
        <v>1</v>
      </c>
      <c r="F20" s="15" t="n">
        <v>444.8</v>
      </c>
      <c r="G20" s="15" t="n">
        <f aca="false">E20*F20</f>
        <v>444.8</v>
      </c>
      <c r="H20" s="15" t="n">
        <v>356</v>
      </c>
      <c r="I20" s="16" t="s">
        <v>51</v>
      </c>
      <c r="J20" s="15" t="n">
        <f aca="false">F20-H20</f>
        <v>88.8</v>
      </c>
      <c r="K20" s="17" t="n">
        <f aca="false">IF(F20&gt;0,(F20-H20)/F20,0)</f>
        <v>0.199640287769784</v>
      </c>
    </row>
    <row r="21" customFormat="false" ht="15" hidden="false" customHeight="false" outlineLevel="0" collapsed="false">
      <c r="A21" s="4" t="s">
        <v>78</v>
      </c>
      <c r="B21" s="5" t="s">
        <v>62</v>
      </c>
      <c r="C21" s="6" t="s">
        <v>63</v>
      </c>
      <c r="D21" s="6" t="s">
        <v>64</v>
      </c>
      <c r="E21" s="7" t="n">
        <v>2</v>
      </c>
      <c r="F21" s="8" t="n">
        <v>342</v>
      </c>
      <c r="G21" s="8" t="n">
        <f aca="false">E21*F21</f>
        <v>684</v>
      </c>
      <c r="H21" s="8" t="n">
        <v>206.4</v>
      </c>
      <c r="I21" s="9" t="s">
        <v>65</v>
      </c>
      <c r="J21" s="8" t="n">
        <f aca="false">F21-H21</f>
        <v>135.6</v>
      </c>
      <c r="K21" s="10" t="n">
        <f aca="false">IF(F21&gt;0,(F21-H21)/F21,0)</f>
        <v>0.396491228070175</v>
      </c>
    </row>
    <row r="22" customFormat="false" ht="15" hidden="false" customHeight="false" outlineLevel="0" collapsed="false">
      <c r="A22" s="32" t="s">
        <v>79</v>
      </c>
      <c r="B22" s="33"/>
      <c r="C22" s="33"/>
      <c r="D22" s="33"/>
      <c r="E22" s="33"/>
      <c r="F22" s="33"/>
      <c r="G22" s="34" t="n">
        <f aca="false">SUM(G5:G21)</f>
        <v>15283.47</v>
      </c>
      <c r="H22" s="35" t="n">
        <f aca="false">SUMPRODUCT(E5:E21,H5:H21)</f>
        <v>13789.47</v>
      </c>
      <c r="I22" s="36" t="s">
        <v>80</v>
      </c>
      <c r="J22" s="35" t="n">
        <f aca="false">G22-H22</f>
        <v>1494</v>
      </c>
      <c r="K22" s="37" t="s">
        <v>81</v>
      </c>
    </row>
    <row r="24" customFormat="false" ht="15" hidden="false" customHeight="false" outlineLevel="0" collapsed="false">
      <c r="A24" s="38" t="s">
        <v>82</v>
      </c>
    </row>
    <row r="25" customFormat="false" ht="15" hidden="false" customHeight="false" outlineLevel="0" collapsed="false">
      <c r="A25" s="39"/>
      <c r="B25" s="40" t="s">
        <v>83</v>
      </c>
    </row>
    <row r="26" customFormat="false" ht="15" hidden="false" customHeight="false" outlineLevel="0" collapsed="false">
      <c r="A26" s="41"/>
      <c r="B26" s="40" t="s">
        <v>84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42" t="s">
        <v>85</v>
      </c>
      <c r="B1" s="43" t="s">
        <v>86</v>
      </c>
    </row>
    <row r="2" customFormat="false" ht="15" hidden="false" customHeight="false" outlineLevel="0" collapsed="false">
      <c r="A2" s="44" t="s">
        <v>87</v>
      </c>
      <c r="B2" s="45" t="s">
        <v>88</v>
      </c>
    </row>
    <row r="3" customFormat="false" ht="15" hidden="false" customHeight="false" outlineLevel="0" collapsed="false">
      <c r="A3" s="44" t="s">
        <v>89</v>
      </c>
      <c r="B3" s="45" t="s">
        <v>90</v>
      </c>
    </row>
    <row r="4" customFormat="false" ht="15" hidden="false" customHeight="false" outlineLevel="0" collapsed="false">
      <c r="A4" s="44" t="s">
        <v>91</v>
      </c>
      <c r="B4" s="45" t="s">
        <v>92</v>
      </c>
    </row>
    <row r="5" customFormat="false" ht="15" hidden="false" customHeight="false" outlineLevel="0" collapsed="false">
      <c r="A5" s="44" t="s">
        <v>93</v>
      </c>
      <c r="B5" s="45" t="s">
        <v>94</v>
      </c>
    </row>
    <row r="6" customFormat="false" ht="15" hidden="false" customHeight="false" outlineLevel="0" collapsed="false">
      <c r="A6" s="44" t="s">
        <v>95</v>
      </c>
      <c r="B6" s="45" t="s">
        <v>96</v>
      </c>
    </row>
    <row r="7" customFormat="false" ht="15" hidden="false" customHeight="false" outlineLevel="0" collapsed="false">
      <c r="A7" s="44" t="s">
        <v>97</v>
      </c>
      <c r="B7" s="45" t="s">
        <v>98</v>
      </c>
    </row>
    <row r="8" customFormat="false" ht="15" hidden="false" customHeight="false" outlineLevel="0" collapsed="false">
      <c r="A8" s="44" t="s">
        <v>99</v>
      </c>
      <c r="B8" s="45" t="s">
        <v>100</v>
      </c>
    </row>
    <row r="9" customFormat="false" ht="15" hidden="false" customHeight="false" outlineLevel="0" collapsed="false">
      <c r="A9" s="44" t="s">
        <v>101</v>
      </c>
      <c r="B9" s="45" t="s">
        <v>102</v>
      </c>
    </row>
    <row r="10" customFormat="false" ht="15" hidden="false" customHeight="false" outlineLevel="0" collapsed="false">
      <c r="A10" s="44" t="s">
        <v>103</v>
      </c>
      <c r="B10" s="45" t="s">
        <v>104</v>
      </c>
    </row>
    <row r="11" customFormat="false" ht="15" hidden="false" customHeight="false" outlineLevel="0" collapsed="false">
      <c r="A11" s="44"/>
      <c r="B11" s="45"/>
    </row>
    <row r="12" customFormat="false" ht="23.85" hidden="false" customHeight="false" outlineLevel="0" collapsed="false">
      <c r="A12" s="44" t="s">
        <v>105</v>
      </c>
      <c r="B12" s="45" t="s">
        <v>106</v>
      </c>
    </row>
    <row r="13" customFormat="false" ht="15" hidden="false" customHeight="false" outlineLevel="0" collapsed="false">
      <c r="A13" s="44" t="s">
        <v>107</v>
      </c>
      <c r="B13" s="45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2026-04-30T17:45:30Z</dcterms:created>
  <dc:creator>openpyxl</dc:creator>
  <dc:description/>
  <dc:language>en-US</dc:language>
  <cp:lastModifiedBy/>
  <dcterms:modified xsi:type="dcterms:W3CDTF">2026-04-30T17:45:30Z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