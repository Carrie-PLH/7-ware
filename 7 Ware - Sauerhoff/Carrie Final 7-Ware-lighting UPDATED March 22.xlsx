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d11f443e3bac54/Desktop/7 Ware/Electrical Fixtures/"/>
    </mc:Choice>
  </mc:AlternateContent>
  <xr:revisionPtr revIDLastSave="0" documentId="14_{A024E32F-388D-4F3D-88B9-4722E3FE11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terior Lighting" sheetId="1" r:id="rId1"/>
    <sheet name="Exterior Lighting" sheetId="2" r:id="rId2"/>
  </sheets>
  <definedNames>
    <definedName name="_xlnm._FilterDatabase" localSheetId="1" hidden="1">'Exterior Lighting'!$A$3:$I$12</definedName>
    <definedName name="_xlnm._FilterDatabase" localSheetId="0" hidden="1">'Interior Lighting'!$A$3:$I$18</definedName>
  </definedNames>
  <calcPr calcId="181029" iterateDelta="1E-4"/>
</workbook>
</file>

<file path=xl/calcChain.xml><?xml version="1.0" encoding="utf-8"?>
<calcChain xmlns="http://schemas.openxmlformats.org/spreadsheetml/2006/main">
  <c r="H16" i="1" l="1"/>
  <c r="H15" i="1"/>
  <c r="H11" i="1"/>
  <c r="H9" i="1"/>
  <c r="H6" i="1"/>
  <c r="H4" i="1"/>
  <c r="H5" i="2"/>
  <c r="H6" i="2"/>
  <c r="H7" i="2"/>
  <c r="H8" i="2"/>
  <c r="H9" i="2"/>
  <c r="H10" i="2"/>
  <c r="H11" i="2"/>
  <c r="H12" i="2"/>
  <c r="H4" i="2"/>
  <c r="H5" i="1"/>
  <c r="H7" i="1"/>
  <c r="H8" i="1"/>
  <c r="H10" i="1"/>
  <c r="H12" i="1"/>
  <c r="H13" i="1"/>
  <c r="H14" i="1"/>
  <c r="H17" i="1"/>
  <c r="H18" i="1"/>
  <c r="H19" i="1"/>
  <c r="H13" i="2" l="1"/>
  <c r="H20" i="1"/>
</calcChain>
</file>

<file path=xl/sharedStrings.xml><?xml version="1.0" encoding="utf-8"?>
<sst xmlns="http://schemas.openxmlformats.org/spreadsheetml/2006/main" count="133" uniqueCount="95">
  <si>
    <t>Interior Lighting (excluding recessed)</t>
  </si>
  <si>
    <t>Location</t>
  </si>
  <si>
    <t>Qty</t>
  </si>
  <si>
    <t>Style</t>
  </si>
  <si>
    <t>Mfg.</t>
  </si>
  <si>
    <t>Model</t>
  </si>
  <si>
    <t>Desc.</t>
  </si>
  <si>
    <t>Other</t>
  </si>
  <si>
    <t>Ceiling light</t>
  </si>
  <si>
    <t>Sconce lights</t>
  </si>
  <si>
    <t>Ceiling fan</t>
  </si>
  <si>
    <t>Dining</t>
  </si>
  <si>
    <t>Chandelier</t>
  </si>
  <si>
    <t>Breakfast</t>
  </si>
  <si>
    <t>Sconce</t>
  </si>
  <si>
    <t>Wall mount</t>
  </si>
  <si>
    <t>Wine cellar</t>
  </si>
  <si>
    <t>Exterior Lighting (including recessed)</t>
  </si>
  <si>
    <t>Recessed ceiling (2)</t>
  </si>
  <si>
    <t>Recessed soffit (1)</t>
  </si>
  <si>
    <t>Garage</t>
  </si>
  <si>
    <t>Sconce style</t>
  </si>
  <si>
    <t>Recessed on Ware Ln side in soffit (4)</t>
  </si>
  <si>
    <t>Landscape</t>
  </si>
  <si>
    <t>Front (1) Rear yard (1)</t>
  </si>
  <si>
    <t>Flood lights (security)</t>
  </si>
  <si>
    <t>Flood light</t>
  </si>
  <si>
    <t>Fan box center ceiling</t>
  </si>
  <si>
    <t>Sunroom ext.</t>
  </si>
  <si>
    <t>Recessed lights (4)</t>
  </si>
  <si>
    <t>Bath 4 (garage)</t>
  </si>
  <si>
    <t>Bath 1 (1st floor master)</t>
  </si>
  <si>
    <t>Bath 2 (2nd floor master)</t>
  </si>
  <si>
    <t>Bath 3 (Jack &amp; Jill)</t>
  </si>
  <si>
    <t>Sunroom lights</t>
  </si>
  <si>
    <t>Sunroom fan</t>
  </si>
  <si>
    <t>Powder room</t>
  </si>
  <si>
    <t>Great room</t>
  </si>
  <si>
    <t>Price</t>
  </si>
  <si>
    <t>Sunroom over table</t>
  </si>
  <si>
    <t>Front hall</t>
  </si>
  <si>
    <t>Basement stairs</t>
  </si>
  <si>
    <t>Main stair</t>
  </si>
  <si>
    <t>Garage office stair</t>
  </si>
  <si>
    <t>Terrace area</t>
  </si>
  <si>
    <t>Breakfast entry</t>
  </si>
  <si>
    <t>Mudroom entry</t>
  </si>
  <si>
    <t>Front entry</t>
  </si>
  <si>
    <t xml:space="preserve">Hubbardton Forge </t>
  </si>
  <si>
    <t>Hubbardton Forge</t>
  </si>
  <si>
    <t>Ellipse Two Light 8” Tall Wall Sconce; Ellipse Collection. Modern Brass/Opal</t>
  </si>
  <si>
    <t>Henry 15" wide pendant; Modern brass/frosted</t>
  </si>
  <si>
    <t>Hubbardton Forge Henry 15" Wide Pendant Modern Brass/Modern Brass</t>
  </si>
  <si>
    <t>Visual Comfort</t>
  </si>
  <si>
    <t>Visual Comfort Maverick 52" 3 blade indoor LED Ceiling Fan Burnished Brass/Washed White Oak</t>
  </si>
  <si>
    <t>Vanity Light</t>
  </si>
  <si>
    <t>Hinckley Lighting</t>
  </si>
  <si>
    <t>Model 51310LCB  bci4921244</t>
  </si>
  <si>
    <t>TBD Doug</t>
  </si>
  <si>
    <t>Robert Abbey</t>
  </si>
  <si>
    <t>Model 207720-1046  bci 4896474</t>
  </si>
  <si>
    <t>Erlenmeyer 10” Tall Wall Sconce. Sterling/Clear</t>
  </si>
  <si>
    <t>S484  BCI 4427808</t>
  </si>
  <si>
    <t>Hubbarton Forge</t>
  </si>
  <si>
    <t>Erlenmeyer 16" tall outdoor wall sconce; coastal natural iron/clear</t>
  </si>
  <si>
    <t>3MGMR52MBKMBK  bci4484592</t>
  </si>
  <si>
    <t>Maverick 52" 3 blade indoor/outdoor ceiling fan midnight black</t>
  </si>
  <si>
    <t>Troy Lighting</t>
  </si>
  <si>
    <t>Menlo Park 14" tall single light wall sconce with glass insulator shade, old silver</t>
  </si>
  <si>
    <t>Alcove 16" tall outdoor wall sconce; coastal natural iron/clear</t>
  </si>
  <si>
    <t>Tryne 2 light 17" wide semiflush bowl ceiling fixture soft gold/sand</t>
  </si>
  <si>
    <t xml:space="preserve">12” tall wall sconce with customizable glass shade; Banded collection. modern brass/opal </t>
  </si>
  <si>
    <t>Model 103045-1028; bci 4605903</t>
  </si>
  <si>
    <t>Flora 5 light 23" wide chandelier soft gold/opal</t>
  </si>
  <si>
    <t>Menlo Park 3 light bathroom vanity light with glass insulator shades; old silver</t>
  </si>
  <si>
    <t>Georgette 14" Tall LED Wall Sconce Lacquered Brass</t>
  </si>
  <si>
    <t>Congress Single Light 131/4" High Wall Sconce with seedy glass shade chrome</t>
  </si>
  <si>
    <t>Grace 13" tall bathroom sconce with clear glass shade polished nickel</t>
  </si>
  <si>
    <t>Model 207710-1031 bci4606326</t>
  </si>
  <si>
    <t>Erlenmeyer 10" Tall Wall Sconce Soft gold/clear</t>
  </si>
  <si>
    <t>Grace 13" tall bathroom sconce with clear glass shade; polished nickel</t>
  </si>
  <si>
    <t>Model 124412-1015 BCI 4618247</t>
  </si>
  <si>
    <t>Model 205812-1076 BCI 4753540</t>
  </si>
  <si>
    <t>Model 207522-1076 BCI 4896200</t>
  </si>
  <si>
    <t>Model 134553-1017  BCI 4898301</t>
  </si>
  <si>
    <t>Modern B3953-OS  bci 2433237</t>
  </si>
  <si>
    <t>Model 31700CM  bci 3178040</t>
  </si>
  <si>
    <t>Model S484  bci4427808</t>
  </si>
  <si>
    <t>Model B3131-OS  bci 2065300</t>
  </si>
  <si>
    <t>Model B3953-OS  bci 2433237</t>
  </si>
  <si>
    <t>Model 307720-1001 bci 4605808</t>
  </si>
  <si>
    <t>Model 302555-1003  bci 4888363</t>
  </si>
  <si>
    <t xml:space="preserve">Model 3MAVSM52BBSWWOD; bci 5097623
</t>
  </si>
  <si>
    <t>Hinkley Lighting</t>
  </si>
  <si>
    <t>Model 134550-1080 Item: bci4898502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</si>
</sst>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  <font>
      <i/>
      <sz val="11"/>
      <color theme="1"/>
      <name val="Calibri (Body)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4"/>
      <color theme="0"/>
      <name val="Calibri (Body)"/>
    </font>
    <font>
      <sz val="11"/>
      <color theme="0"/>
      <name val="Calibri (Body)"/>
    </font>
    <font>
      <b/>
      <sz val="11"/>
      <color theme="0"/>
      <name val="Calibri (Body)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8" fillId="0" borderId="0" xfId="0" applyFont="1"/>
    <xf numFmtId="44" fontId="8" fillId="0" borderId="1" xfId="1" applyFont="1" applyFill="1" applyBorder="1" applyAlignment="1">
      <alignment vertical="top" wrapText="1"/>
    </xf>
    <xf numFmtId="44" fontId="10" fillId="0" borderId="0" xfId="0" applyNumberFormat="1" applyFont="1"/>
    <xf numFmtId="0" fontId="12" fillId="0" borderId="0" xfId="2" applyFont="1" applyFill="1" applyAlignment="1">
      <alignment vertical="top" wrapText="1"/>
    </xf>
    <xf numFmtId="0" fontId="7" fillId="3" borderId="0" xfId="0" applyFont="1" applyFill="1" applyAlignment="1">
      <alignment horizontal="center" vertical="center" wrapText="1"/>
    </xf>
    <xf numFmtId="44" fontId="0" fillId="0" borderId="1" xfId="1" applyFont="1" applyFill="1" applyBorder="1" applyAlignment="1">
      <alignment vertical="top" wrapText="1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0" borderId="0" xfId="0" applyFont="1"/>
    <xf numFmtId="0" fontId="0" fillId="0" borderId="1" xfId="0" applyBorder="1" applyAlignment="1">
      <alignment vertical="top" wrapText="1"/>
    </xf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4" fillId="0" borderId="0" xfId="0" applyFont="1" applyAlignment="1">
      <alignment vertical="top"/>
    </xf>
    <xf numFmtId="44" fontId="15" fillId="0" borderId="0" xfId="1" applyFont="1" applyFill="1" applyAlignment="1">
      <alignment vertical="top"/>
    </xf>
    <xf numFmtId="0" fontId="14" fillId="0" borderId="1" xfId="0" applyFont="1" applyBorder="1" applyAlignment="1">
      <alignment vertical="top"/>
    </xf>
    <xf numFmtId="44" fontId="15" fillId="0" borderId="1" xfId="1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21" fillId="0" borderId="0" xfId="0" applyFont="1"/>
    <xf numFmtId="0" fontId="22" fillId="0" borderId="1" xfId="2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11" fillId="0" borderId="1" xfId="2" applyFill="1" applyBorder="1" applyAlignment="1">
      <alignment vertical="top" wrapText="1"/>
    </xf>
    <xf numFmtId="0" fontId="3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/>
    <xf numFmtId="0" fontId="13" fillId="0" borderId="0" xfId="0" applyFont="1"/>
    <xf numFmtId="0" fontId="16" fillId="2" borderId="0" xfId="0" applyFont="1" applyFill="1" applyAlignment="1">
      <alignment horizontal="left" vertical="center"/>
    </xf>
    <xf numFmtId="0" fontId="17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rgusonhome.com/troy-lighting-b3953/s985933?uid=2433237&amp;searchId=qVWiyIzMVE" TargetMode="External"/><Relationship Id="rId13" Type="http://schemas.openxmlformats.org/officeDocument/2006/relationships/hyperlink" Target="https://www.fergusonhome.com/hubbardton-forge-207710/s778295?uid=4606326&amp;searchId=XzZQDhCBNy" TargetMode="External"/><Relationship Id="rId3" Type="http://schemas.openxmlformats.org/officeDocument/2006/relationships/hyperlink" Target="https://www.fergusonhome.com/hubbardton-forge-207522/s115240?uid=4896200&amp;searchId=RewApR7gUo" TargetMode="External"/><Relationship Id="rId7" Type="http://schemas.openxmlformats.org/officeDocument/2006/relationships/hyperlink" Target="https://www.fergusonhome.com/hubbardton-forge-103045/s47484?uid=4605903&amp;searchId=dUeBus7Qwo" TargetMode="External"/><Relationship Id="rId12" Type="http://schemas.openxmlformats.org/officeDocument/2006/relationships/hyperlink" Target="https://www.fergusonhome.com/hubbardton-forge-207720/s778296?uid=4896474&amp;searchId=miDWNIP30s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fergusonhome.com/hubbardton-forge-124422/s69159?uid=4618245&amp;searchId=5W1rLrWoeK" TargetMode="External"/><Relationship Id="rId16" Type="http://schemas.openxmlformats.org/officeDocument/2006/relationships/hyperlink" Target="https://www.fergusonhome.com/robert-abbey-grace-wall-sconce/s1873344?uid=4427808&amp;searchId=uZ4zNQGCfX" TargetMode="External"/><Relationship Id="rId1" Type="http://schemas.openxmlformats.org/officeDocument/2006/relationships/hyperlink" Target="https://www.fergusonhome.com/hubbardton-forge-134553/s2006860?uid=4898301&amp;searchId=No83osdpyy" TargetMode="External"/><Relationship Id="rId6" Type="http://schemas.openxmlformats.org/officeDocument/2006/relationships/hyperlink" Target="https://www.fergusonhome.com/hubbardton-forge-134550/s2006859?uid=4752814&amp;searchId=xH0CAAAN0g" TargetMode="External"/><Relationship Id="rId11" Type="http://schemas.openxmlformats.org/officeDocument/2006/relationships/hyperlink" Target="https://www.fergusonhome.com/robert-abbey-grace-wall-sconce/s1873344?uid=4427808&amp;searchId=jMoLKrPssk" TargetMode="External"/><Relationship Id="rId5" Type="http://schemas.openxmlformats.org/officeDocument/2006/relationships/hyperlink" Target="https://www.fergusonhome.com/hubbardton-forge-205812/s115052?uid=4753540&amp;searchId=muxA1He0z1" TargetMode="External"/><Relationship Id="rId15" Type="http://schemas.openxmlformats.org/officeDocument/2006/relationships/hyperlink" Target="https://www.fergusonhome.com/troy-lighting-b3953/s985933?uid=2433237&amp;searchId=qVWiyIzMVE" TargetMode="External"/><Relationship Id="rId10" Type="http://schemas.openxmlformats.org/officeDocument/2006/relationships/hyperlink" Target="https://www.fergusonhome.com/hinkley-lighting-31700/s1335539?uid=3178040&amp;searchId=OuF94NJK2K" TargetMode="External"/><Relationship Id="rId4" Type="http://schemas.openxmlformats.org/officeDocument/2006/relationships/hyperlink" Target="https://www.fergusonhome.com/visual-comfort-3mavsm52d/s2087264?uid=5097623&amp;searchId=e5A3S8U4j3" TargetMode="External"/><Relationship Id="rId9" Type="http://schemas.openxmlformats.org/officeDocument/2006/relationships/hyperlink" Target="https://www.fergusonhome.com/search?term=bci4921244" TargetMode="External"/><Relationship Id="rId14" Type="http://schemas.openxmlformats.org/officeDocument/2006/relationships/hyperlink" Target="https://www.fergusonhome.com/troy-lighting-b3131/s801389?uid=2065300&amp;searchId=VfVhuS7l9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rgusonhome.com/visual-comfort-3mgmr52/s1897999?uid=4484592&amp;searchId=8W7lRWG4jh" TargetMode="External"/><Relationship Id="rId2" Type="http://schemas.openxmlformats.org/officeDocument/2006/relationships/hyperlink" Target="https://www.fergusonhome.com/hubbardton-forge-302555/s1916205?uid=4888363&amp;searchId=jERQd7yAks" TargetMode="External"/><Relationship Id="rId1" Type="http://schemas.openxmlformats.org/officeDocument/2006/relationships/hyperlink" Target="https://www.fergusonhome.com/hubbardton-forge-307720/s1952416?uid=4605808&amp;searchId=kKwxfjmv58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fergusonhome.com/hubbardton-forge-302555/s1916205?uid=4888363&amp;searchId=jERQd7yA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showGridLines="0" tabSelected="1" workbookViewId="0">
      <pane ySplit="3" topLeftCell="A4" activePane="bottomLeft" state="frozen"/>
      <selection pane="bottomLeft" activeCell="F5" sqref="F5"/>
    </sheetView>
  </sheetViews>
  <sheetFormatPr defaultColWidth="8.85546875" defaultRowHeight="15"/>
  <cols>
    <col min="1" max="1" width="24" customWidth="1"/>
    <col min="2" max="2" width="8" customWidth="1"/>
    <col min="3" max="3" width="18" customWidth="1"/>
    <col min="4" max="4" width="18.42578125" bestFit="1" customWidth="1"/>
    <col min="5" max="5" width="20.85546875" style="26" customWidth="1"/>
    <col min="6" max="6" width="34" customWidth="1"/>
    <col min="7" max="7" width="10.42578125" bestFit="1" customWidth="1"/>
    <col min="8" max="8" width="12.7109375" customWidth="1"/>
    <col min="9" max="9" width="10.85546875" customWidth="1"/>
    <col min="10" max="10" width="6.85546875" bestFit="1" customWidth="1"/>
    <col min="11" max="11" width="36.7109375" bestFit="1" customWidth="1"/>
  </cols>
  <sheetData>
    <row r="1" spans="1:11" ht="24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</row>
    <row r="2" spans="1:11" ht="21.95" customHeight="1"/>
    <row r="3" spans="1:11" s="14" customFormat="1" ht="21.95" customHeight="1">
      <c r="A3" s="11" t="s">
        <v>1</v>
      </c>
      <c r="B3" s="11" t="s">
        <v>2</v>
      </c>
      <c r="C3" s="11" t="s">
        <v>3</v>
      </c>
      <c r="D3" s="11" t="s">
        <v>4</v>
      </c>
      <c r="E3" s="12" t="s">
        <v>5</v>
      </c>
      <c r="F3" s="11" t="s">
        <v>6</v>
      </c>
      <c r="G3" s="12" t="s">
        <v>38</v>
      </c>
      <c r="H3" s="11"/>
      <c r="I3" s="13" t="s">
        <v>7</v>
      </c>
    </row>
    <row r="4" spans="1:11" s="1" customFormat="1" ht="30">
      <c r="A4" s="15" t="s">
        <v>40</v>
      </c>
      <c r="B4" s="15">
        <v>1</v>
      </c>
      <c r="C4" s="15" t="s">
        <v>8</v>
      </c>
      <c r="D4" s="16" t="s">
        <v>48</v>
      </c>
      <c r="E4" s="27" t="s">
        <v>81</v>
      </c>
      <c r="F4" s="17" t="s">
        <v>70</v>
      </c>
      <c r="G4" s="10">
        <v>748</v>
      </c>
      <c r="H4" s="10">
        <f>B4*G4</f>
        <v>748</v>
      </c>
      <c r="I4" s="15"/>
      <c r="K4" s="8"/>
    </row>
    <row r="5" spans="1:11" s="1" customFormat="1" ht="42.75">
      <c r="A5" s="18" t="s">
        <v>39</v>
      </c>
      <c r="B5" s="18">
        <v>1</v>
      </c>
      <c r="C5" s="18" t="s">
        <v>12</v>
      </c>
      <c r="D5" s="18" t="s">
        <v>49</v>
      </c>
      <c r="E5" s="29" t="s">
        <v>94</v>
      </c>
      <c r="F5" s="18" t="s">
        <v>52</v>
      </c>
      <c r="G5" s="10">
        <v>902</v>
      </c>
      <c r="H5" s="6">
        <f t="shared" ref="H5:H19" si="0">B5*G5</f>
        <v>902</v>
      </c>
      <c r="I5" s="18"/>
    </row>
    <row r="6" spans="1:11" s="1" customFormat="1" ht="57">
      <c r="A6" s="18" t="s">
        <v>34</v>
      </c>
      <c r="B6" s="18">
        <v>3</v>
      </c>
      <c r="C6" s="18" t="s">
        <v>9</v>
      </c>
      <c r="D6" s="19" t="s">
        <v>48</v>
      </c>
      <c r="E6" s="27" t="s">
        <v>82</v>
      </c>
      <c r="F6" s="18" t="s">
        <v>71</v>
      </c>
      <c r="G6" s="20">
        <v>506</v>
      </c>
      <c r="H6" s="6">
        <f>B6*G6</f>
        <v>1518</v>
      </c>
      <c r="I6" s="18"/>
      <c r="K6" s="8"/>
    </row>
    <row r="7" spans="1:11" s="1" customFormat="1" ht="60">
      <c r="A7" s="18" t="s">
        <v>35</v>
      </c>
      <c r="B7" s="18">
        <v>1</v>
      </c>
      <c r="C7" s="18" t="s">
        <v>10</v>
      </c>
      <c r="D7" s="18" t="s">
        <v>53</v>
      </c>
      <c r="E7" s="29" t="s">
        <v>92</v>
      </c>
      <c r="F7" s="18" t="s">
        <v>54</v>
      </c>
      <c r="G7" s="10">
        <v>849.15</v>
      </c>
      <c r="H7" s="6">
        <f t="shared" si="0"/>
        <v>849.15</v>
      </c>
      <c r="I7" s="18"/>
    </row>
    <row r="8" spans="1:11" s="1" customFormat="1" ht="30">
      <c r="A8" s="18" t="s">
        <v>11</v>
      </c>
      <c r="B8" s="18">
        <v>1</v>
      </c>
      <c r="C8" s="18" t="s">
        <v>12</v>
      </c>
      <c r="D8" s="21" t="s">
        <v>49</v>
      </c>
      <c r="E8" s="29" t="s">
        <v>72</v>
      </c>
      <c r="F8" s="18" t="s">
        <v>73</v>
      </c>
      <c r="G8" s="22">
        <v>1980</v>
      </c>
      <c r="H8" s="6">
        <f t="shared" si="0"/>
        <v>1980</v>
      </c>
      <c r="I8" s="18"/>
    </row>
    <row r="9" spans="1:11" s="1" customFormat="1" ht="42.75">
      <c r="A9" s="18" t="s">
        <v>37</v>
      </c>
      <c r="B9" s="18">
        <v>2</v>
      </c>
      <c r="C9" s="18" t="s">
        <v>9</v>
      </c>
      <c r="D9" s="21" t="s">
        <v>49</v>
      </c>
      <c r="E9" s="29" t="s">
        <v>83</v>
      </c>
      <c r="F9" s="18" t="s">
        <v>50</v>
      </c>
      <c r="G9" s="22">
        <v>1122</v>
      </c>
      <c r="H9" s="6">
        <f>B9*G9</f>
        <v>2244</v>
      </c>
      <c r="I9" s="18"/>
      <c r="K9" s="8"/>
    </row>
    <row r="10" spans="1:11" s="1" customFormat="1" ht="30">
      <c r="A10" s="18" t="s">
        <v>13</v>
      </c>
      <c r="B10" s="18">
        <v>1</v>
      </c>
      <c r="C10" s="18" t="s">
        <v>12</v>
      </c>
      <c r="D10" s="18" t="s">
        <v>49</v>
      </c>
      <c r="E10" s="29" t="s">
        <v>84</v>
      </c>
      <c r="F10" s="18" t="s">
        <v>51</v>
      </c>
      <c r="G10" s="10">
        <v>924</v>
      </c>
      <c r="H10" s="6">
        <f t="shared" si="0"/>
        <v>924</v>
      </c>
      <c r="I10" s="18"/>
    </row>
    <row r="11" spans="1:11" s="1" customFormat="1" ht="42.75">
      <c r="A11" s="18" t="s">
        <v>36</v>
      </c>
      <c r="B11" s="18">
        <v>1</v>
      </c>
      <c r="C11" s="18" t="s">
        <v>55</v>
      </c>
      <c r="D11" s="21" t="s">
        <v>67</v>
      </c>
      <c r="E11" s="29" t="s">
        <v>85</v>
      </c>
      <c r="F11" s="18" t="s">
        <v>74</v>
      </c>
      <c r="G11" s="22">
        <v>444.8</v>
      </c>
      <c r="H11" s="6">
        <f>B11*G11</f>
        <v>444.8</v>
      </c>
      <c r="I11" s="18"/>
    </row>
    <row r="12" spans="1:11" s="1" customFormat="1" ht="30">
      <c r="A12" s="18" t="s">
        <v>41</v>
      </c>
      <c r="B12" s="18">
        <v>2</v>
      </c>
      <c r="C12" s="18" t="s">
        <v>14</v>
      </c>
      <c r="D12" s="18" t="s">
        <v>93</v>
      </c>
      <c r="E12" s="29" t="s">
        <v>57</v>
      </c>
      <c r="F12" s="18" t="s">
        <v>75</v>
      </c>
      <c r="G12" s="10">
        <v>329</v>
      </c>
      <c r="H12" s="6">
        <f t="shared" si="0"/>
        <v>658</v>
      </c>
      <c r="I12" s="18"/>
    </row>
    <row r="13" spans="1:11" s="1" customFormat="1" ht="42.75">
      <c r="A13" s="18" t="s">
        <v>16</v>
      </c>
      <c r="B13" s="18">
        <v>2</v>
      </c>
      <c r="C13" s="18" t="s">
        <v>14</v>
      </c>
      <c r="D13" s="23" t="s">
        <v>56</v>
      </c>
      <c r="E13" s="29" t="s">
        <v>86</v>
      </c>
      <c r="F13" s="18" t="s">
        <v>76</v>
      </c>
      <c r="G13" s="10">
        <v>49.76</v>
      </c>
      <c r="H13" s="6">
        <f t="shared" si="0"/>
        <v>99.52</v>
      </c>
      <c r="I13" s="28" t="s">
        <v>58</v>
      </c>
    </row>
    <row r="14" spans="1:11" s="1" customFormat="1" ht="42.75">
      <c r="A14" s="18" t="s">
        <v>32</v>
      </c>
      <c r="B14" s="18">
        <v>2</v>
      </c>
      <c r="C14" s="18" t="s">
        <v>14</v>
      </c>
      <c r="D14" s="23" t="s">
        <v>59</v>
      </c>
      <c r="E14" s="29" t="s">
        <v>87</v>
      </c>
      <c r="F14" s="18" t="s">
        <v>77</v>
      </c>
      <c r="G14" s="10">
        <v>342</v>
      </c>
      <c r="H14" s="6">
        <f t="shared" si="0"/>
        <v>684</v>
      </c>
      <c r="I14" s="18"/>
    </row>
    <row r="15" spans="1:11" s="1" customFormat="1" ht="30">
      <c r="A15" s="18" t="s">
        <v>33</v>
      </c>
      <c r="B15" s="18">
        <v>2</v>
      </c>
      <c r="C15" s="18" t="s">
        <v>14</v>
      </c>
      <c r="D15" s="21" t="s">
        <v>49</v>
      </c>
      <c r="E15" s="29" t="s">
        <v>60</v>
      </c>
      <c r="F15" s="18" t="s">
        <v>61</v>
      </c>
      <c r="G15" s="22">
        <v>572</v>
      </c>
      <c r="H15" s="6">
        <f>B15*G15</f>
        <v>1144</v>
      </c>
      <c r="I15" s="18"/>
    </row>
    <row r="16" spans="1:11" s="1" customFormat="1" ht="30">
      <c r="A16" s="18" t="s">
        <v>42</v>
      </c>
      <c r="B16" s="18">
        <v>2</v>
      </c>
      <c r="C16" s="18" t="s">
        <v>14</v>
      </c>
      <c r="D16" s="21" t="s">
        <v>49</v>
      </c>
      <c r="E16" s="29" t="s">
        <v>78</v>
      </c>
      <c r="F16" s="18" t="s">
        <v>79</v>
      </c>
      <c r="G16" s="22">
        <v>682</v>
      </c>
      <c r="H16" s="6">
        <f>B16*G16</f>
        <v>1364</v>
      </c>
      <c r="I16" s="18"/>
      <c r="K16" s="8"/>
    </row>
    <row r="17" spans="1:9" s="1" customFormat="1" ht="42.75">
      <c r="A17" s="18" t="s">
        <v>43</v>
      </c>
      <c r="B17" s="18">
        <v>2</v>
      </c>
      <c r="C17" s="18" t="s">
        <v>14</v>
      </c>
      <c r="D17" s="18" t="s">
        <v>67</v>
      </c>
      <c r="E17" s="29" t="s">
        <v>88</v>
      </c>
      <c r="F17" s="18" t="s">
        <v>68</v>
      </c>
      <c r="G17" s="10">
        <v>297.60000000000002</v>
      </c>
      <c r="H17" s="6">
        <f t="shared" si="0"/>
        <v>595.20000000000005</v>
      </c>
      <c r="I17" s="18"/>
    </row>
    <row r="18" spans="1:9" s="1" customFormat="1" ht="42.75">
      <c r="A18" s="18" t="s">
        <v>30</v>
      </c>
      <c r="B18" s="18">
        <v>1</v>
      </c>
      <c r="C18" s="18" t="s">
        <v>55</v>
      </c>
      <c r="D18" s="18" t="s">
        <v>67</v>
      </c>
      <c r="E18" s="29" t="s">
        <v>89</v>
      </c>
      <c r="F18" s="18" t="s">
        <v>74</v>
      </c>
      <c r="G18" s="10">
        <v>444.8</v>
      </c>
      <c r="H18" s="6">
        <f t="shared" si="0"/>
        <v>444.8</v>
      </c>
      <c r="I18" s="18"/>
    </row>
    <row r="19" spans="1:9" s="1" customFormat="1" ht="42.75">
      <c r="A19" s="18" t="s">
        <v>31</v>
      </c>
      <c r="B19" s="18">
        <v>2</v>
      </c>
      <c r="C19" s="18" t="s">
        <v>14</v>
      </c>
      <c r="D19" s="18" t="s">
        <v>59</v>
      </c>
      <c r="E19" s="29" t="s">
        <v>62</v>
      </c>
      <c r="F19" s="18" t="s">
        <v>80</v>
      </c>
      <c r="G19" s="10">
        <v>342</v>
      </c>
      <c r="H19" s="6">
        <f t="shared" si="0"/>
        <v>684</v>
      </c>
      <c r="I19" s="18"/>
    </row>
    <row r="20" spans="1:9" ht="21.95" customHeight="1">
      <c r="H20" s="7">
        <f>SUM(H4:H19)</f>
        <v>15283.47</v>
      </c>
    </row>
    <row r="21" spans="1:9" ht="21.95" customHeight="1">
      <c r="A21" s="34"/>
      <c r="B21" s="32"/>
      <c r="C21" s="32"/>
      <c r="D21" s="32"/>
      <c r="E21" s="32"/>
      <c r="F21" s="32"/>
      <c r="G21" s="32"/>
      <c r="H21" s="32"/>
      <c r="I21" s="32"/>
    </row>
  </sheetData>
  <autoFilter ref="A3:I18" xr:uid="{00000000-0009-0000-0000-000000000000}"/>
  <mergeCells count="2">
    <mergeCell ref="A21:I21"/>
    <mergeCell ref="A1:I1"/>
  </mergeCells>
  <hyperlinks>
    <hyperlink ref="E10" r:id="rId1" xr:uid="{74344671-CEE7-D346-858C-FACA2CCA8499}"/>
    <hyperlink ref="E4" r:id="rId2" display="124422-1015 BCI 4618245 OR 124412-1015 BCI 4618247" xr:uid="{10C7D53D-C265-474B-BCE3-B6D2D9683B0D}"/>
    <hyperlink ref="E9" r:id="rId3" xr:uid="{866FB64B-7103-9942-9BF7-1DF05CF52FF9}"/>
    <hyperlink ref="E7" r:id="rId4" display="https://www.fergusonhome.com/visual-comfort-3mavsm52d/s2087264?uid=5097623&amp;searchId=e5A3S8U4j3" xr:uid="{3B44A7C5-710E-8447-96CF-182AC61B522A}"/>
    <hyperlink ref="E6" r:id="rId5" display="205812-1076 BCI 4753540" xr:uid="{78A03E69-EB3F-6E48-AA96-92955AB358D0}"/>
    <hyperlink ref="E5" r:id="rId6" display="134550-1089 Item: bci4752814" xr:uid="{64881419-0A01-2C46-9799-E7D8FA017A17}"/>
    <hyperlink ref="E8" r:id="rId7" xr:uid="{407902AD-4218-B24D-A3AB-17C4B7FAA9C5}"/>
    <hyperlink ref="E11" r:id="rId8" xr:uid="{C1D08243-EAA0-CF47-96B5-E1318AB57BE2}"/>
    <hyperlink ref="E12" r:id="rId9" xr:uid="{22AE3696-EA90-DE46-BFFC-3980B8C0CB22}"/>
    <hyperlink ref="E13" r:id="rId10" xr:uid="{3DEECDD2-E661-B249-A8C7-EB740F6279B2}"/>
    <hyperlink ref="E14" r:id="rId11" xr:uid="{199D8260-3029-7842-96A9-F14D06FEA727}"/>
    <hyperlink ref="E15" r:id="rId12" xr:uid="{AD7C5CC2-A00A-224D-9B83-99CBD26F536E}"/>
    <hyperlink ref="E16" r:id="rId13" xr:uid="{79F305D5-0B38-F84F-9357-6E58D34733CD}"/>
    <hyperlink ref="E17" r:id="rId14" xr:uid="{C1EB028E-B7BB-624C-A4E5-D05DBB0AC139}"/>
    <hyperlink ref="E18" r:id="rId15" xr:uid="{BC61742D-5A32-1646-A96E-9A4791F4F09E}"/>
    <hyperlink ref="E19" r:id="rId16" xr:uid="{C705A26E-1FFF-8144-A521-F19B7217488A}"/>
  </hyperlinks>
  <pageMargins left="0.75" right="0.75" top="1" bottom="1" header="0.5" footer="0.5"/>
  <pageSetup orientation="landscape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showGridLines="0" workbookViewId="0">
      <pane ySplit="3" topLeftCell="A4" activePane="bottomLeft" state="frozen"/>
      <selection pane="bottomLeft" activeCell="F12" sqref="F12"/>
    </sheetView>
  </sheetViews>
  <sheetFormatPr defaultColWidth="8.85546875" defaultRowHeight="15"/>
  <cols>
    <col min="1" max="1" width="24" customWidth="1"/>
    <col min="2" max="2" width="8" customWidth="1"/>
    <col min="3" max="3" width="18" customWidth="1"/>
    <col min="4" max="4" width="14.140625" bestFit="1" customWidth="1"/>
    <col min="5" max="5" width="12" style="5" customWidth="1"/>
    <col min="6" max="6" width="34" style="4" customWidth="1"/>
    <col min="7" max="7" width="10.140625" bestFit="1" customWidth="1"/>
    <col min="8" max="8" width="10.85546875" customWidth="1"/>
    <col min="9" max="9" width="28" customWidth="1"/>
  </cols>
  <sheetData>
    <row r="1" spans="1:9" ht="24" customHeight="1">
      <c r="A1" s="31" t="s">
        <v>17</v>
      </c>
      <c r="B1" s="32"/>
      <c r="C1" s="32"/>
      <c r="D1" s="32"/>
      <c r="E1" s="32"/>
      <c r="F1" s="32"/>
      <c r="G1" s="32"/>
      <c r="H1" s="32"/>
      <c r="I1" s="32"/>
    </row>
    <row r="2" spans="1:9" ht="21.95" customHeight="1"/>
    <row r="3" spans="1:9" ht="21.95" customHeight="1">
      <c r="A3" s="2" t="s">
        <v>1</v>
      </c>
      <c r="B3" s="2" t="s">
        <v>2</v>
      </c>
      <c r="C3" s="2" t="s">
        <v>3</v>
      </c>
      <c r="D3" s="2" t="s">
        <v>4</v>
      </c>
      <c r="E3" s="9" t="s">
        <v>5</v>
      </c>
      <c r="F3" s="30" t="s">
        <v>6</v>
      </c>
      <c r="G3" s="3" t="s">
        <v>38</v>
      </c>
      <c r="H3" s="3"/>
      <c r="I3" s="2" t="s">
        <v>7</v>
      </c>
    </row>
    <row r="4" spans="1:9" s="4" customFormat="1" ht="45">
      <c r="A4" s="15" t="s">
        <v>47</v>
      </c>
      <c r="B4" s="15">
        <v>2</v>
      </c>
      <c r="C4" s="15" t="s">
        <v>15</v>
      </c>
      <c r="D4" s="15" t="s">
        <v>63</v>
      </c>
      <c r="E4" s="29" t="s">
        <v>90</v>
      </c>
      <c r="F4" s="1" t="s">
        <v>64</v>
      </c>
      <c r="G4" s="10">
        <v>1760</v>
      </c>
      <c r="H4" s="10">
        <f>B4*G4</f>
        <v>3520</v>
      </c>
      <c r="I4" s="15" t="s">
        <v>18</v>
      </c>
    </row>
    <row r="5" spans="1:9" s="4" customFormat="1" ht="21.95" customHeight="1">
      <c r="A5" s="15" t="s">
        <v>46</v>
      </c>
      <c r="B5" s="15"/>
      <c r="C5" s="15"/>
      <c r="D5" s="24"/>
      <c r="E5" s="23"/>
      <c r="F5" s="15"/>
      <c r="G5" s="10"/>
      <c r="H5" s="10">
        <f t="shared" ref="H5:H12" si="0">B5*G5</f>
        <v>0</v>
      </c>
      <c r="I5" s="15" t="s">
        <v>19</v>
      </c>
    </row>
    <row r="6" spans="1:9" s="4" customFormat="1" ht="45">
      <c r="A6" s="15" t="s">
        <v>20</v>
      </c>
      <c r="B6" s="15">
        <v>3</v>
      </c>
      <c r="C6" s="15" t="s">
        <v>15</v>
      </c>
      <c r="D6" s="15" t="s">
        <v>63</v>
      </c>
      <c r="E6" s="29" t="s">
        <v>91</v>
      </c>
      <c r="F6" s="1" t="s">
        <v>69</v>
      </c>
      <c r="G6" s="10">
        <v>792</v>
      </c>
      <c r="H6" s="10">
        <f t="shared" si="0"/>
        <v>2376</v>
      </c>
      <c r="I6" s="15" t="s">
        <v>21</v>
      </c>
    </row>
    <row r="7" spans="1:9" s="4" customFormat="1" ht="34.5" customHeight="1">
      <c r="A7" s="15" t="s">
        <v>20</v>
      </c>
      <c r="B7" s="15"/>
      <c r="C7" s="15"/>
      <c r="D7" s="24"/>
      <c r="E7" s="18"/>
      <c r="F7" s="15"/>
      <c r="G7" s="10"/>
      <c r="H7" s="10">
        <f t="shared" si="0"/>
        <v>0</v>
      </c>
      <c r="I7" s="15" t="s">
        <v>22</v>
      </c>
    </row>
    <row r="8" spans="1:9" s="4" customFormat="1" ht="21.95" customHeight="1">
      <c r="A8" s="15" t="s">
        <v>45</v>
      </c>
      <c r="B8" s="15"/>
      <c r="C8" s="15"/>
      <c r="D8" s="24"/>
      <c r="E8" s="18"/>
      <c r="F8" s="15"/>
      <c r="G8" s="10"/>
      <c r="H8" s="10">
        <f t="shared" si="0"/>
        <v>0</v>
      </c>
      <c r="I8" s="15" t="s">
        <v>19</v>
      </c>
    </row>
    <row r="9" spans="1:9" s="4" customFormat="1" ht="21.95" customHeight="1">
      <c r="A9" s="15" t="s">
        <v>23</v>
      </c>
      <c r="B9" s="15"/>
      <c r="C9" s="15"/>
      <c r="D9" s="24"/>
      <c r="E9" s="18"/>
      <c r="F9" s="15"/>
      <c r="G9" s="10"/>
      <c r="H9" s="10">
        <f t="shared" si="0"/>
        <v>0</v>
      </c>
      <c r="I9" s="15" t="s">
        <v>24</v>
      </c>
    </row>
    <row r="10" spans="1:9" s="4" customFormat="1" ht="21.95" customHeight="1">
      <c r="A10" s="15" t="s">
        <v>25</v>
      </c>
      <c r="B10" s="15"/>
      <c r="C10" s="15"/>
      <c r="D10" s="24"/>
      <c r="E10" s="18"/>
      <c r="F10" s="25" t="s">
        <v>26</v>
      </c>
      <c r="G10" s="10"/>
      <c r="H10" s="10">
        <f t="shared" si="0"/>
        <v>0</v>
      </c>
      <c r="I10" s="15" t="s">
        <v>24</v>
      </c>
    </row>
    <row r="11" spans="1:9" s="4" customFormat="1" ht="45">
      <c r="A11" s="15" t="s">
        <v>44</v>
      </c>
      <c r="B11" s="15">
        <v>1</v>
      </c>
      <c r="C11" s="15"/>
      <c r="D11" s="24" t="s">
        <v>53</v>
      </c>
      <c r="E11" s="29" t="s">
        <v>65</v>
      </c>
      <c r="F11" s="15" t="s">
        <v>66</v>
      </c>
      <c r="G11" s="10">
        <v>679.15</v>
      </c>
      <c r="H11" s="10">
        <f t="shared" si="0"/>
        <v>679.15</v>
      </c>
      <c r="I11" s="15" t="s">
        <v>27</v>
      </c>
    </row>
    <row r="12" spans="1:9" s="1" customFormat="1" ht="45">
      <c r="A12" s="15" t="s">
        <v>28</v>
      </c>
      <c r="B12" s="15">
        <v>2</v>
      </c>
      <c r="C12" s="15" t="s">
        <v>15</v>
      </c>
      <c r="D12" s="15" t="s">
        <v>63</v>
      </c>
      <c r="E12" s="29" t="s">
        <v>91</v>
      </c>
      <c r="F12" s="15" t="s">
        <v>69</v>
      </c>
      <c r="G12" s="10">
        <v>792</v>
      </c>
      <c r="H12" s="10">
        <f t="shared" si="0"/>
        <v>1584</v>
      </c>
      <c r="I12" s="15" t="s">
        <v>29</v>
      </c>
    </row>
    <row r="13" spans="1:9" ht="21.95" customHeight="1">
      <c r="H13" s="7">
        <f>SUM(H4:H12)</f>
        <v>8159.15</v>
      </c>
    </row>
    <row r="14" spans="1:9" ht="21.95" customHeight="1"/>
    <row r="15" spans="1:9" ht="21.95" customHeight="1">
      <c r="A15" s="33"/>
      <c r="B15" s="32"/>
      <c r="C15" s="32"/>
      <c r="D15" s="32"/>
      <c r="E15" s="32"/>
      <c r="F15" s="32"/>
      <c r="G15" s="32"/>
      <c r="H15" s="32"/>
      <c r="I15" s="32"/>
    </row>
  </sheetData>
  <autoFilter ref="A3:I12" xr:uid="{00000000-0009-0000-0000-000001000000}"/>
  <mergeCells count="2">
    <mergeCell ref="A1:I1"/>
    <mergeCell ref="A15:I15"/>
  </mergeCells>
  <hyperlinks>
    <hyperlink ref="E4" r:id="rId1" xr:uid="{3B7193BE-0370-9D46-AA5A-22FF64B6B6CB}"/>
    <hyperlink ref="E6" r:id="rId2" xr:uid="{5536A338-44D2-1F4F-8848-3723971F755F}"/>
    <hyperlink ref="E11" r:id="rId3" xr:uid="{F7EE06BF-0165-F14F-855B-94909E5060AD}"/>
    <hyperlink ref="E12" r:id="rId4" xr:uid="{A30FA55B-CB40-2A4A-B828-1739E4970093}"/>
  </hyperlinks>
  <pageMargins left="0.75" right="0.75" top="1" bottom="1" header="0.5" footer="0.5"/>
  <pageSetup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Interior Lighting</vt:lpstr>
      <vt:lpstr>Exterior Lighting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Mitchell Sauerhoff</cp:lastModifiedBy>
  <cp:lastPrinted>2026-03-22T15:10:35Z</cp:lastPrinted>
  <dcterms:created xsi:type="dcterms:W3CDTF">2026-03-11T19:26:55Z</dcterms:created>
  <dcterms:modified xsi:type="dcterms:W3CDTF">2026-03-22T16:11:47Z</dcterms:modified>
</cp:coreProperties>
</file>